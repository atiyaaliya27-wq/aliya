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anif Aziz\Desktop\"/>
    </mc:Choice>
  </mc:AlternateContent>
  <xr:revisionPtr revIDLastSave="0" documentId="13_ncr:1_{9A8B63E2-A138-4B5D-A04B-387529817403}" xr6:coauthVersionLast="47" xr6:coauthVersionMax="47" xr10:uidLastSave="{00000000-0000-0000-0000-000000000000}"/>
  <bookViews>
    <workbookView xWindow="-120" yWindow="-120" windowWidth="15600" windowHeight="11310" activeTab="1" xr2:uid="{11A530CF-BC21-4C58-9C91-22C431DFC31F}"/>
  </bookViews>
  <sheets>
    <sheet name="Sheet5" sheetId="7" r:id="rId1"/>
    <sheet name="Sheet1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4" i="1" l="1"/>
  <c r="C27" i="1"/>
  <c r="F30" i="1"/>
  <c r="C28" i="1"/>
  <c r="F29" i="1"/>
  <c r="C17" i="1"/>
  <c r="B26" i="1"/>
  <c r="F20" i="1"/>
  <c r="M12" i="1"/>
  <c r="F22" i="1"/>
  <c r="F24" i="1"/>
  <c r="F23" i="1"/>
  <c r="F21" i="1"/>
  <c r="D24" i="1"/>
  <c r="D23" i="1"/>
  <c r="D22" i="1"/>
  <c r="D21" i="1"/>
  <c r="D20" i="1"/>
  <c r="F27" i="1"/>
  <c r="O4" i="1"/>
  <c r="P4" i="1" s="1"/>
  <c r="M15" i="1"/>
  <c r="N15" i="1" s="1"/>
  <c r="B13" i="1"/>
  <c r="O14" i="1"/>
  <c r="P14" i="1" s="1"/>
  <c r="O15" i="1"/>
  <c r="O13" i="1"/>
  <c r="P13" i="1" s="1"/>
  <c r="O12" i="1"/>
  <c r="P12" i="1" s="1"/>
  <c r="O11" i="1"/>
  <c r="P11" i="1" s="1"/>
  <c r="O10" i="1"/>
  <c r="P10" i="1" s="1"/>
  <c r="O9" i="1"/>
  <c r="P9" i="1" s="1"/>
  <c r="O8" i="1"/>
  <c r="P8" i="1" s="1"/>
  <c r="O7" i="1"/>
  <c r="P7" i="1" s="1"/>
  <c r="O6" i="1"/>
  <c r="P6" i="1" s="1"/>
  <c r="O5" i="1"/>
  <c r="P5" i="1" s="1"/>
  <c r="M14" i="1"/>
  <c r="N14" i="1" s="1"/>
  <c r="M13" i="1"/>
  <c r="N13" i="1" s="1"/>
  <c r="C29" i="1"/>
  <c r="M11" i="1"/>
  <c r="N11" i="1" s="1"/>
  <c r="M10" i="1"/>
  <c r="N10" i="1" s="1"/>
  <c r="M9" i="1"/>
  <c r="N9" i="1" s="1"/>
  <c r="M8" i="1"/>
  <c r="N8" i="1" s="1"/>
  <c r="M7" i="1"/>
  <c r="N7" i="1" s="1"/>
  <c r="M6" i="1"/>
  <c r="N6" i="1" s="1"/>
  <c r="M5" i="1"/>
  <c r="N5" i="1" s="1"/>
  <c r="M4" i="1"/>
  <c r="N4" i="1" s="1"/>
  <c r="F26" i="1" a="1"/>
  <c r="F26" i="1" s="1"/>
  <c r="P15" i="1"/>
  <c r="B15" i="1"/>
  <c r="B12" i="1"/>
  <c r="B11" i="1"/>
  <c r="B10" i="1"/>
  <c r="B9" i="1"/>
  <c r="B8" i="1"/>
  <c r="B7" i="1"/>
  <c r="B6" i="1"/>
  <c r="B5" i="1"/>
  <c r="B4" i="1"/>
  <c r="C30" i="1"/>
  <c r="N1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<sst xmlns="http://schemas.openxmlformats.org/spreadsheetml/2006/main" count="77" uniqueCount="58">
  <si>
    <t>Student ID</t>
  </si>
  <si>
    <t>Student Name</t>
  </si>
  <si>
    <t>Class</t>
  </si>
  <si>
    <t>Section</t>
  </si>
  <si>
    <t>Math</t>
  </si>
  <si>
    <t>Science</t>
  </si>
  <si>
    <t>English</t>
  </si>
  <si>
    <t>History</t>
  </si>
  <si>
    <t>Computer</t>
  </si>
  <si>
    <t>Total Marks</t>
  </si>
  <si>
    <t>Percentage</t>
  </si>
  <si>
    <t>Remarks</t>
  </si>
  <si>
    <t>STD001</t>
  </si>
  <si>
    <t>Rahul Sharma</t>
  </si>
  <si>
    <t>A</t>
  </si>
  <si>
    <t>STD002</t>
  </si>
  <si>
    <t>STD003</t>
  </si>
  <si>
    <t>Aman Kumar</t>
  </si>
  <si>
    <t>B</t>
  </si>
  <si>
    <t>STD004</t>
  </si>
  <si>
    <t>Sita Verma</t>
  </si>
  <si>
    <t>STD005</t>
  </si>
  <si>
    <t>Ravi Yadav</t>
  </si>
  <si>
    <t>C</t>
  </si>
  <si>
    <t>STD006</t>
  </si>
  <si>
    <t>Anjali Mishra</t>
  </si>
  <si>
    <t>STD007</t>
  </si>
  <si>
    <t>Mohit Jain</t>
  </si>
  <si>
    <t>STD008</t>
  </si>
  <si>
    <t>Kavita Sharma</t>
  </si>
  <si>
    <t>STD009</t>
  </si>
  <si>
    <t>Deepak Verma</t>
  </si>
  <si>
    <t>STD010</t>
  </si>
  <si>
    <t>Total</t>
  </si>
  <si>
    <t>STD0011</t>
  </si>
  <si>
    <t>Momina veer</t>
  </si>
  <si>
    <t>STD0012</t>
  </si>
  <si>
    <t>Alina muslm</t>
  </si>
  <si>
    <t>Sath  veerma</t>
  </si>
  <si>
    <t>Date</t>
  </si>
  <si>
    <t>Row Labels</t>
  </si>
  <si>
    <t>Grand Total</t>
  </si>
  <si>
    <t>Sum of Total</t>
  </si>
  <si>
    <t>Grade</t>
  </si>
  <si>
    <t>MAX Marks</t>
  </si>
  <si>
    <t>MIN Marks</t>
  </si>
  <si>
    <t>PERCENTAGE</t>
  </si>
  <si>
    <t>CLASS</t>
  </si>
  <si>
    <t>GRADE</t>
  </si>
  <si>
    <t>ATTENDANCE</t>
  </si>
  <si>
    <t>Priyan Singh</t>
  </si>
  <si>
    <t>SUBJECT</t>
  </si>
  <si>
    <t>studens marks steet</t>
  </si>
  <si>
    <t>MAX</t>
  </si>
  <si>
    <t>MIN</t>
  </si>
  <si>
    <t>REMARKS</t>
  </si>
  <si>
    <t>Count of Remarks</t>
  </si>
  <si>
    <t>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</si>
</sst>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sz val="10"/>
      <color theme="1"/>
      <name val="Arial Unicode MS"/>
    </font>
    <font>
      <sz val="14"/>
      <color theme="1"/>
      <name val="Algerian"/>
      <family val="5"/>
    </font>
    <font>
      <b/>
      <sz val="11"/>
      <color theme="1" tint="4.9989318521683403E-2"/>
      <name val="Algerian"/>
      <family val="5"/>
    </font>
    <font>
      <sz val="11"/>
      <color theme="1" tint="4.9989318521683403E-2"/>
      <name val="Century Gothic"/>
      <family val="2"/>
      <scheme val="minor"/>
    </font>
    <font>
      <b/>
      <sz val="9"/>
      <color theme="1"/>
      <name val="Century Gothic"/>
      <family val="2"/>
      <scheme val="minor"/>
    </font>
    <font>
      <sz val="11"/>
      <color theme="1"/>
      <name val="Bahnschrift SemiBold"/>
      <family val="2"/>
    </font>
    <font>
      <sz val="10"/>
      <color theme="1"/>
      <name val="Bahnschrift SemiBold"/>
      <family val="2"/>
    </font>
    <font>
      <sz val="9"/>
      <color theme="1"/>
      <name val="Bahnschrift SemiBold"/>
      <family val="2"/>
    </font>
    <font>
      <b/>
      <sz val="11"/>
      <color theme="1"/>
      <name val="Bahnschrift SemiBold"/>
      <family val="2"/>
    </font>
    <font>
      <b/>
      <sz val="9"/>
      <color theme="1"/>
      <name val="Bahnschrift SemiBold"/>
      <family val="2"/>
    </font>
    <font>
      <b/>
      <sz val="9"/>
      <color theme="1" tint="4.9989318521683403E-2"/>
      <name val="Bahnschrift SemiBold"/>
      <family val="2"/>
    </font>
    <font>
      <b/>
      <sz val="9"/>
      <color theme="1" tint="4.9989318521683403E-2"/>
      <name val="Century Gothic"/>
      <family val="2"/>
      <scheme val="minor"/>
    </font>
    <font>
      <b/>
      <sz val="10"/>
      <color theme="1" tint="0.34998626667073579"/>
      <name val="Bahnschrift SemiBold"/>
      <family val="2"/>
    </font>
    <font>
      <b/>
      <sz val="10"/>
      <color theme="1"/>
      <name val="Bahnschrift SemiBold"/>
      <family val="2"/>
    </font>
    <font>
      <b/>
      <sz val="10"/>
      <color theme="1" tint="0.14999847407452621"/>
      <name val="Bahnschrift SemiBold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/>
      <top style="thin">
        <color theme="1" tint="0.249977111117893"/>
      </top>
      <bottom style="thin">
        <color theme="1" tint="0.249977111117893"/>
      </bottom>
      <diagonal/>
    </border>
    <border>
      <left/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/>
      <right/>
      <top/>
      <bottom style="thin">
        <color theme="1" tint="0.249977111117893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/>
    </xf>
    <xf numFmtId="0" fontId="5" fillId="0" borderId="0" xfId="0" applyFont="1"/>
    <xf numFmtId="14" fontId="0" fillId="0" borderId="0" xfId="0" applyNumberFormat="1" applyAlignment="1">
      <alignment horizontal="center" vertical="center" wrapText="1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Font="1"/>
    <xf numFmtId="0" fontId="9" fillId="0" borderId="1" xfId="0" applyFont="1" applyBorder="1" applyAlignment="1">
      <alignment horizontal="center" vertical="center"/>
    </xf>
    <xf numFmtId="0" fontId="6" fillId="0" borderId="2" xfId="0" applyFont="1" applyFill="1" applyBorder="1" applyAlignment="1">
      <alignment vertical="center"/>
    </xf>
    <xf numFmtId="0" fontId="13" fillId="0" borderId="2" xfId="0" applyFont="1" applyFill="1" applyBorder="1" applyAlignment="1">
      <alignment vertical="center"/>
    </xf>
    <xf numFmtId="0" fontId="9" fillId="4" borderId="7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0" xfId="0" applyBorder="1"/>
    <xf numFmtId="0" fontId="7" fillId="0" borderId="0" xfId="0" applyFont="1" applyBorder="1"/>
    <xf numFmtId="0" fontId="10" fillId="2" borderId="13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/>
    </xf>
    <xf numFmtId="0" fontId="11" fillId="0" borderId="13" xfId="0" applyFont="1" applyFill="1" applyBorder="1" applyAlignment="1">
      <alignment horizontal="left" vertical="center"/>
    </xf>
    <xf numFmtId="0" fontId="11" fillId="0" borderId="13" xfId="0" applyFont="1" applyFill="1" applyBorder="1" applyAlignment="1">
      <alignment vertical="center"/>
    </xf>
    <xf numFmtId="0" fontId="12" fillId="0" borderId="13" xfId="0" applyFont="1" applyFill="1" applyBorder="1" applyAlignment="1">
      <alignment vertical="center" wrapText="1"/>
    </xf>
    <xf numFmtId="0" fontId="9" fillId="4" borderId="13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9" fillId="4" borderId="15" xfId="0" applyFont="1" applyFill="1" applyBorder="1" applyAlignment="1">
      <alignment horizontal="center" vertical="center"/>
    </xf>
    <xf numFmtId="14" fontId="0" fillId="0" borderId="0" xfId="0" applyNumberFormat="1" applyAlignment="1"/>
    <xf numFmtId="14" fontId="8" fillId="5" borderId="13" xfId="0" applyNumberFormat="1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6" fillId="5" borderId="13" xfId="0" applyFont="1" applyFill="1" applyBorder="1" applyAlignment="1">
      <alignment horizontal="center" vertical="center" wrapText="1"/>
    </xf>
    <xf numFmtId="0" fontId="15" fillId="5" borderId="13" xfId="0" applyFont="1" applyFill="1" applyBorder="1" applyAlignment="1">
      <alignment horizontal="center" vertical="center"/>
    </xf>
    <xf numFmtId="0" fontId="0" fillId="0" borderId="16" xfId="0" applyBorder="1"/>
    <xf numFmtId="0" fontId="6" fillId="0" borderId="0" xfId="0" applyFont="1" applyFill="1" applyBorder="1" applyAlignment="1">
      <alignment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[ATIYA AZIZ.xlsx]Sheet5!PivotTable1</c:name>
    <c:fmtId val="4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Sheet5!$B$4</c:f>
              <c:strCache>
                <c:ptCount val="1"/>
                <c:pt idx="0">
                  <c:v>Sum of 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Sheet5!$A$5:$A$6</c:f>
              <c:strCache>
                <c:ptCount val="1"/>
                <c:pt idx="0">
                  <c:v>Deepak Verma</c:v>
                </c:pt>
              </c:strCache>
            </c:strRef>
          </c:cat>
          <c:val>
            <c:numRef>
              <c:f>Sheet5!$B$5:$B$6</c:f>
              <c:numCache>
                <c:formatCode>General</c:formatCode>
                <c:ptCount val="1"/>
                <c:pt idx="0">
                  <c:v>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7D-401E-A7C6-8E9B3B1070F0}"/>
            </c:ext>
          </c:extLst>
        </c:ser>
        <c:ser>
          <c:idx val="1"/>
          <c:order val="1"/>
          <c:tx>
            <c:strRef>
              <c:f>Sheet5!$C$4</c:f>
              <c:strCache>
                <c:ptCount val="1"/>
                <c:pt idx="0">
                  <c:v>Count of Remarks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strRef>
              <c:f>Sheet5!$A$5:$A$6</c:f>
              <c:strCache>
                <c:ptCount val="1"/>
                <c:pt idx="0">
                  <c:v>Deepak Verma</c:v>
                </c:pt>
              </c:strCache>
            </c:strRef>
          </c:cat>
          <c:val>
            <c:numRef>
              <c:f>Sheet5!$C$5:$C$6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7D-401E-A7C6-8E9B3B1070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095553984"/>
        <c:axId val="1095546912"/>
        <c:axId val="0"/>
      </c:bar3DChart>
      <c:catAx>
        <c:axId val="109555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546912"/>
        <c:crosses val="autoZero"/>
        <c:auto val="1"/>
        <c:lblAlgn val="ctr"/>
        <c:lblOffset val="100"/>
        <c:noMultiLvlLbl val="0"/>
      </c:catAx>
      <c:valAx>
        <c:axId val="109554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555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171451</xdr:rowOff>
    </xdr:from>
    <xdr:to>
      <xdr:col>6</xdr:col>
      <xdr:colOff>9524</xdr:colOff>
      <xdr:row>25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26B635-604B-4C07-B314-19039FD180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nif Aziz" refreshedDate="46052.008079282408" createdVersion="7" refreshedVersion="7" minRefreshableVersion="3" recordCount="12" xr:uid="{8DA28C54-601F-4477-922C-FDAA3157129D}">
  <cacheSource type="worksheet">
    <worksheetSource ref="B3:P15" sheet="Sheet1"/>
  </cacheSource>
  <cacheFields count="15">
    <cacheField name="Date" numFmtId="14">
      <sharedItems containsSemiMixedTypes="0" containsNonDate="0" containsDate="1" containsString="0" minDate="2026-01-30T00:00:00" maxDate="2026-01-31T00:00:00"/>
    </cacheField>
    <cacheField name="Student ID" numFmtId="0">
      <sharedItems/>
    </cacheField>
    <cacheField name="Student Name" numFmtId="0">
      <sharedItems count="12">
        <s v="Rahul Sharma"/>
        <s v="Priyan Singh"/>
        <s v="Aman Kumar"/>
        <s v="Sita Verma"/>
        <s v="Ravi Yadav"/>
        <s v="Anjali Mishra"/>
        <s v="Mohit Jain"/>
        <s v="Kavita Sharma"/>
        <s v="Deepak Verma"/>
        <s v="Momina veer"/>
        <s v="Sath  veerma"/>
        <s v="Alina muslm"/>
      </sharedItems>
    </cacheField>
    <cacheField name="Class" numFmtId="0">
      <sharedItems containsSemiMixedTypes="0" containsString="0" containsNumber="1" containsInteger="1" minValue="10" maxValue="10"/>
    </cacheField>
    <cacheField name="Section" numFmtId="0">
      <sharedItems count="3">
        <s v="A"/>
        <s v="B"/>
        <s v="C"/>
      </sharedItems>
    </cacheField>
    <cacheField name="Math" numFmtId="0">
      <sharedItems containsSemiMixedTypes="0" containsString="0" containsNumber="1" containsInteger="1" minValue="45" maxValue="97"/>
    </cacheField>
    <cacheField name="Science" numFmtId="0">
      <sharedItems containsSemiMixedTypes="0" containsString="0" containsNumber="1" containsInteger="1" minValue="50" maxValue="96"/>
    </cacheField>
    <cacheField name="English" numFmtId="0">
      <sharedItems containsSemiMixedTypes="0" containsString="0" containsNumber="1" containsInteger="1" minValue="48" maxValue="97"/>
    </cacheField>
    <cacheField name="History" numFmtId="0">
      <sharedItems containsSemiMixedTypes="0" containsString="0" containsNumber="1" containsInteger="1" minValue="48" maxValue="95"/>
    </cacheField>
    <cacheField name="Computer" numFmtId="0">
      <sharedItems containsSemiMixedTypes="0" containsString="0" containsNumber="1" containsInteger="1" minValue="60" maxValue="97"/>
    </cacheField>
    <cacheField name="ATTENDANCE" numFmtId="0">
      <sharedItems containsSemiMixedTypes="0" containsString="0" containsNumber="1" containsInteger="1" minValue="2" maxValue="10"/>
    </cacheField>
    <cacheField name="Total" numFmtId="0">
      <sharedItems containsSemiMixedTypes="0" containsString="0" containsNumber="1" containsInteger="1" minValue="264" maxValue="486" count="12">
        <n v="414"/>
        <n v="426"/>
        <n v="360"/>
        <n v="459"/>
        <n v="300"/>
        <n v="420"/>
        <n v="264"/>
        <n v="486"/>
        <n v="483"/>
        <n v="441"/>
        <n v="282"/>
        <n v="381"/>
      </sharedItems>
    </cacheField>
    <cacheField name="Remarks" numFmtId="0">
      <sharedItems count="2">
        <s v="Pass"/>
        <s v="Fail"/>
      </sharedItems>
    </cacheField>
    <cacheField name="Percentage" numFmtId="0">
      <sharedItems containsSemiMixedTypes="0" containsString="0" containsNumber="1" minValue="44" maxValue="81"/>
    </cacheField>
    <cacheField name="Grad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d v="2026-01-30T00:00:00"/>
    <s v="STD001"/>
    <x v="0"/>
    <n v="10"/>
    <x v="0"/>
    <n v="85"/>
    <n v="78"/>
    <n v="92"/>
    <n v="74"/>
    <n v="78"/>
    <n v="7"/>
    <x v="0"/>
    <x v="0"/>
    <n v="69"/>
    <s v="C"/>
  </r>
  <r>
    <d v="2026-01-30T00:00:00"/>
    <s v="STD002"/>
    <x v="1"/>
    <n v="10"/>
    <x v="0"/>
    <n v="75"/>
    <n v="80"/>
    <n v="86"/>
    <n v="86"/>
    <n v="90"/>
    <n v="9"/>
    <x v="1"/>
    <x v="0"/>
    <n v="71"/>
    <s v="B"/>
  </r>
  <r>
    <d v="2026-01-30T00:00:00"/>
    <s v="STD003"/>
    <x v="2"/>
    <n v="10"/>
    <x v="1"/>
    <n v="65"/>
    <n v="70"/>
    <n v="72"/>
    <n v="68"/>
    <n v="75"/>
    <n v="10"/>
    <x v="2"/>
    <x v="0"/>
    <n v="60"/>
    <s v="C"/>
  </r>
  <r>
    <d v="2026-01-30T00:00:00"/>
    <s v="STD004"/>
    <x v="3"/>
    <n v="10"/>
    <x v="1"/>
    <n v="90"/>
    <n v="88"/>
    <n v="95"/>
    <n v="86"/>
    <n v="92"/>
    <n v="8"/>
    <x v="3"/>
    <x v="0"/>
    <n v="76.5"/>
    <s v="B"/>
  </r>
  <r>
    <d v="2026-01-30T00:00:00"/>
    <s v="STD005"/>
    <x v="4"/>
    <n v="10"/>
    <x v="2"/>
    <n v="55"/>
    <n v="60"/>
    <n v="58"/>
    <n v="62"/>
    <n v="63"/>
    <n v="2"/>
    <x v="4"/>
    <x v="1"/>
    <n v="50"/>
    <s v="D"/>
  </r>
  <r>
    <d v="2026-01-30T00:00:00"/>
    <s v="STD006"/>
    <x v="5"/>
    <n v="10"/>
    <x v="2"/>
    <n v="82"/>
    <n v="79"/>
    <n v="88"/>
    <n v="82"/>
    <n v="87"/>
    <n v="2"/>
    <x v="5"/>
    <x v="0"/>
    <n v="70"/>
    <s v="B"/>
  </r>
  <r>
    <d v="2026-01-30T00:00:00"/>
    <s v="STD007"/>
    <x v="6"/>
    <n v="10"/>
    <x v="0"/>
    <n v="45"/>
    <n v="50"/>
    <n v="48"/>
    <n v="52"/>
    <n v="60"/>
    <n v="9"/>
    <x v="6"/>
    <x v="1"/>
    <n v="44"/>
    <s v="D"/>
  </r>
  <r>
    <d v="2026-01-30T00:00:00"/>
    <s v="STD008"/>
    <x v="7"/>
    <n v="10"/>
    <x v="1"/>
    <n v="95"/>
    <n v="96"/>
    <n v="93"/>
    <n v="95"/>
    <n v="97"/>
    <n v="10"/>
    <x v="7"/>
    <x v="0"/>
    <n v="81"/>
    <s v="A"/>
  </r>
  <r>
    <d v="2026-01-30T00:00:00"/>
    <s v="STD009"/>
    <x v="8"/>
    <n v="10"/>
    <x v="2"/>
    <n v="97"/>
    <n v="96"/>
    <n v="97"/>
    <n v="94"/>
    <n v="94"/>
    <n v="5"/>
    <x v="8"/>
    <x v="0"/>
    <n v="80.5"/>
    <s v="A"/>
  </r>
  <r>
    <d v="2026-01-30T00:00:00"/>
    <s v="STD010"/>
    <x v="9"/>
    <n v="10"/>
    <x v="0"/>
    <n v="88"/>
    <n v="85"/>
    <n v="90"/>
    <n v="80"/>
    <n v="88"/>
    <n v="10"/>
    <x v="9"/>
    <x v="0"/>
    <n v="73.5"/>
    <s v="B"/>
  </r>
  <r>
    <d v="2026-01-30T00:00:00"/>
    <s v="STD0011"/>
    <x v="10"/>
    <n v="10"/>
    <x v="2"/>
    <n v="53"/>
    <n v="55"/>
    <n v="54"/>
    <n v="48"/>
    <n v="66"/>
    <n v="6"/>
    <x v="10"/>
    <x v="1"/>
    <n v="47"/>
    <s v="D"/>
  </r>
  <r>
    <d v="2026-01-30T00:00:00"/>
    <s v="STD0012"/>
    <x v="11"/>
    <n v="10"/>
    <x v="1"/>
    <n v="67"/>
    <n v="78"/>
    <n v="75"/>
    <n v="88"/>
    <n v="66"/>
    <n v="7"/>
    <x v="11"/>
    <x v="0"/>
    <n v="63.5"/>
    <s v="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F62371-D9F3-49F9-9602-4DA68FFE4EA8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4:C6" firstHeaderRow="0" firstDataRow="1" firstDataCol="1" rowPageCount="1" colPageCount="1"/>
  <pivotFields count="15">
    <pivotField numFmtId="14" showAll="0"/>
    <pivotField showAll="0"/>
    <pivotField axis="axisRow" showAll="0">
      <items count="13">
        <item h="1" x="11"/>
        <item h="1" x="2"/>
        <item h="1" x="5"/>
        <item x="8"/>
        <item h="1" x="7"/>
        <item h="1" x="6"/>
        <item h="1" x="9"/>
        <item h="1" x="1"/>
        <item h="1" x="0"/>
        <item h="1" x="4"/>
        <item h="1" x="10"/>
        <item h="1" x="3"/>
        <item t="default"/>
      </items>
    </pivotField>
    <pivotField showAll="0"/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13">
        <item x="6"/>
        <item x="10"/>
        <item x="4"/>
        <item x="2"/>
        <item x="11"/>
        <item x="0"/>
        <item x="5"/>
        <item x="1"/>
        <item x="9"/>
        <item x="3"/>
        <item x="8"/>
        <item x="7"/>
        <item t="default"/>
      </items>
    </pivotField>
    <pivotField dataField="1" multipleItemSelectionAllowed="1" showAll="0">
      <items count="3">
        <item h="1" x="1"/>
        <item x="0"/>
        <item t="default"/>
      </items>
    </pivotField>
    <pivotField showAll="0"/>
    <pivotField showAll="0"/>
  </pivotFields>
  <rowFields count="1">
    <field x="2"/>
  </rowFields>
  <rowItems count="2">
    <i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4" item="2" hier="-1"/>
  </pageFields>
  <dataFields count="2">
    <dataField name="Sum of Total" fld="11" baseField="0" baseItem="0"/>
    <dataField name="Count of Remarks" fld="12" subtotal="count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 Boardroom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Ion Boardroom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Ion Boardroom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124000"/>
                <a:satMod val="148000"/>
                <a:lumMod val="124000"/>
              </a:schemeClr>
            </a:gs>
            <a:gs pos="100000">
              <a:schemeClr val="phClr">
                <a:shade val="76000"/>
                <a:hueMod val="89000"/>
                <a:satMod val="164000"/>
                <a:lumMod val="5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91000"/>
                <a:satMod val="164000"/>
                <a:lumMod val="74000"/>
              </a:schemeClr>
              <a:schemeClr val="phClr">
                <a:hueMod val="124000"/>
                <a:satMod val="140000"/>
                <a:lumMod val="14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 Boardroom" id="{FC33163D-4339-46B1-8EED-24C834239D99}" vid="{B8502691-933B-45FE-8764-BA278511EF27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E91D7-09C5-4AB3-BB5E-BD612F4E0CEC}">
  <dimension ref="A2:C6"/>
  <sheetViews>
    <sheetView topLeftCell="A3" workbookViewId="0">
      <selection activeCell="B5" sqref="B5"/>
    </sheetView>
  </sheetViews>
  <sheetFormatPr defaultRowHeight="16.5"/>
  <cols>
    <col min="1" max="1" width="15" bestFit="1" customWidth="1"/>
    <col min="2" max="2" width="11.75" bestFit="1" customWidth="1"/>
    <col min="3" max="3" width="17.25" bestFit="1" customWidth="1"/>
    <col min="4" max="4" width="11.5" bestFit="1" customWidth="1"/>
  </cols>
  <sheetData>
    <row r="2" spans="1:3">
      <c r="A2" s="7" t="s">
        <v>3</v>
      </c>
      <c r="B2" t="s">
        <v>23</v>
      </c>
    </row>
    <row r="4" spans="1:3">
      <c r="A4" s="7" t="s">
        <v>40</v>
      </c>
      <c r="B4" t="s">
        <v>42</v>
      </c>
      <c r="C4" t="s">
        <v>56</v>
      </c>
    </row>
    <row r="5" spans="1:3">
      <c r="A5" s="2" t="s">
        <v>31</v>
      </c>
      <c r="B5" s="8">
        <v>483</v>
      </c>
      <c r="C5" s="8">
        <v>1</v>
      </c>
    </row>
    <row r="6" spans="1:3">
      <c r="A6" s="2" t="s">
        <v>41</v>
      </c>
      <c r="B6" s="8">
        <v>483</v>
      </c>
      <c r="C6" s="8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3728F-CEC3-49FD-8BCE-A16D5EFA1406}">
  <dimension ref="A1:P41"/>
  <sheetViews>
    <sheetView tabSelected="1" topLeftCell="B17" workbookViewId="0">
      <selection activeCell="B1" sqref="B1:N39"/>
    </sheetView>
  </sheetViews>
  <sheetFormatPr defaultRowHeight="16.5"/>
  <cols>
    <col min="1" max="1" width="0.75" customWidth="1"/>
    <col min="2" max="2" width="8.875" customWidth="1"/>
    <col min="4" max="4" width="7.5" customWidth="1"/>
    <col min="8" max="8" width="11" customWidth="1"/>
    <col min="11" max="11" width="9.75" customWidth="1"/>
    <col min="14" max="14" width="10.375" customWidth="1"/>
  </cols>
  <sheetData>
    <row r="1" spans="1:16" ht="19.5">
      <c r="G1" s="52" t="s">
        <v>52</v>
      </c>
      <c r="H1" s="52"/>
      <c r="I1" s="52"/>
      <c r="J1" s="52"/>
      <c r="K1" s="52"/>
    </row>
    <row r="3" spans="1:16" ht="28.5">
      <c r="B3" s="31" t="s">
        <v>39</v>
      </c>
      <c r="C3" s="31" t="s">
        <v>0</v>
      </c>
      <c r="D3" s="31" t="s">
        <v>1</v>
      </c>
      <c r="E3" s="31" t="s">
        <v>2</v>
      </c>
      <c r="F3" s="31" t="s">
        <v>3</v>
      </c>
      <c r="G3" s="31" t="s">
        <v>4</v>
      </c>
      <c r="H3" s="31" t="s">
        <v>5</v>
      </c>
      <c r="I3" s="31" t="s">
        <v>6</v>
      </c>
      <c r="J3" s="31" t="s">
        <v>7</v>
      </c>
      <c r="K3" s="31" t="s">
        <v>8</v>
      </c>
      <c r="L3" s="31" t="s">
        <v>49</v>
      </c>
      <c r="M3" s="31" t="s">
        <v>33</v>
      </c>
      <c r="N3" s="31" t="s">
        <v>11</v>
      </c>
      <c r="O3" s="31" t="s">
        <v>10</v>
      </c>
      <c r="P3" s="31" t="s">
        <v>43</v>
      </c>
    </row>
    <row r="4" spans="1:16" ht="25.5">
      <c r="B4" s="41">
        <f ca="1">TODAY()</f>
        <v>46053</v>
      </c>
      <c r="C4" s="42" t="s">
        <v>12</v>
      </c>
      <c r="D4" s="42" t="s">
        <v>13</v>
      </c>
      <c r="E4" s="42">
        <v>10</v>
      </c>
      <c r="F4" s="42" t="s">
        <v>14</v>
      </c>
      <c r="G4" s="42">
        <v>85</v>
      </c>
      <c r="H4" s="42">
        <v>78</v>
      </c>
      <c r="I4" s="42">
        <v>92</v>
      </c>
      <c r="J4" s="42">
        <v>74</v>
      </c>
      <c r="K4" s="42">
        <v>78</v>
      </c>
      <c r="L4" s="42">
        <v>7</v>
      </c>
      <c r="M4" s="42">
        <f t="shared" ref="M4:M15" si="0">SUM(G4:L4)</f>
        <v>414</v>
      </c>
      <c r="N4" s="43" t="str">
        <f>IF(M4&gt;300,"Pass","Fail")</f>
        <v>Pass</v>
      </c>
      <c r="O4" s="43">
        <f>AVERAGE(G4:L4)</f>
        <v>69</v>
      </c>
      <c r="P4" s="43" t="str">
        <f t="shared" ref="P4:P8" si="1">IF(O4&gt;=90,"A+",IF(O4&gt;=80,"A",IF(O4&gt;=70,"B",IF(O4&gt;=60,"C","D"))))</f>
        <v>C</v>
      </c>
    </row>
    <row r="5" spans="1:16" ht="25.5">
      <c r="B5" s="41">
        <f t="shared" ref="B5:B15" ca="1" si="2">TODAY()</f>
        <v>46053</v>
      </c>
      <c r="C5" s="42" t="s">
        <v>15</v>
      </c>
      <c r="D5" s="42" t="s">
        <v>50</v>
      </c>
      <c r="E5" s="42">
        <v>10</v>
      </c>
      <c r="F5" s="42" t="s">
        <v>14</v>
      </c>
      <c r="G5" s="42">
        <v>75</v>
      </c>
      <c r="H5" s="42">
        <v>80</v>
      </c>
      <c r="I5" s="42">
        <v>86</v>
      </c>
      <c r="J5" s="42">
        <v>86</v>
      </c>
      <c r="K5" s="42">
        <v>90</v>
      </c>
      <c r="L5" s="42">
        <v>9</v>
      </c>
      <c r="M5" s="42">
        <f t="shared" si="0"/>
        <v>426</v>
      </c>
      <c r="N5" s="43" t="str">
        <f>IF(M5&gt;300,"Pass","Fail")</f>
        <v>Pass</v>
      </c>
      <c r="O5" s="43">
        <f t="shared" ref="O5:O15" si="3">AVERAGE(G5:L5)</f>
        <v>71</v>
      </c>
      <c r="P5" s="43" t="str">
        <f t="shared" si="1"/>
        <v>B</v>
      </c>
    </row>
    <row r="6" spans="1:16" ht="25.5">
      <c r="B6" s="41">
        <f t="shared" ca="1" si="2"/>
        <v>46053</v>
      </c>
      <c r="C6" s="42" t="s">
        <v>16</v>
      </c>
      <c r="D6" s="42" t="s">
        <v>17</v>
      </c>
      <c r="E6" s="42">
        <v>10</v>
      </c>
      <c r="F6" s="42" t="s">
        <v>18</v>
      </c>
      <c r="G6" s="42">
        <v>65</v>
      </c>
      <c r="H6" s="42">
        <v>70</v>
      </c>
      <c r="I6" s="42">
        <v>72</v>
      </c>
      <c r="J6" s="42">
        <v>68</v>
      </c>
      <c r="K6" s="42">
        <v>75</v>
      </c>
      <c r="L6" s="42">
        <v>10</v>
      </c>
      <c r="M6" s="42">
        <f t="shared" si="0"/>
        <v>360</v>
      </c>
      <c r="N6" s="43" t="str">
        <f t="shared" ref="N6:N15" si="4">IF(M6&gt;300,"Pass","Fail")</f>
        <v>Pass</v>
      </c>
      <c r="O6" s="43">
        <f t="shared" si="3"/>
        <v>60</v>
      </c>
      <c r="P6" s="43" t="str">
        <f t="shared" si="1"/>
        <v>C</v>
      </c>
    </row>
    <row r="7" spans="1:16" ht="25.5">
      <c r="B7" s="41">
        <f t="shared" ca="1" si="2"/>
        <v>46053</v>
      </c>
      <c r="C7" s="42" t="s">
        <v>19</v>
      </c>
      <c r="D7" s="42" t="s">
        <v>20</v>
      </c>
      <c r="E7" s="42">
        <v>10</v>
      </c>
      <c r="F7" s="42" t="s">
        <v>18</v>
      </c>
      <c r="G7" s="42">
        <v>90</v>
      </c>
      <c r="H7" s="42">
        <v>88</v>
      </c>
      <c r="I7" s="42">
        <v>95</v>
      </c>
      <c r="J7" s="42">
        <v>86</v>
      </c>
      <c r="K7" s="42">
        <v>92</v>
      </c>
      <c r="L7" s="42">
        <v>8</v>
      </c>
      <c r="M7" s="42">
        <f t="shared" si="0"/>
        <v>459</v>
      </c>
      <c r="N7" s="43" t="str">
        <f t="shared" si="4"/>
        <v>Pass</v>
      </c>
      <c r="O7" s="43">
        <f t="shared" si="3"/>
        <v>76.5</v>
      </c>
      <c r="P7" s="43" t="str">
        <f t="shared" si="1"/>
        <v>B</v>
      </c>
    </row>
    <row r="8" spans="1:16" ht="25.5">
      <c r="A8" s="29"/>
      <c r="B8" s="41">
        <f t="shared" ca="1" si="2"/>
        <v>46053</v>
      </c>
      <c r="C8" s="42" t="s">
        <v>21</v>
      </c>
      <c r="D8" s="42" t="s">
        <v>22</v>
      </c>
      <c r="E8" s="42">
        <v>10</v>
      </c>
      <c r="F8" s="42" t="s">
        <v>23</v>
      </c>
      <c r="G8" s="42">
        <v>55</v>
      </c>
      <c r="H8" s="42">
        <v>60</v>
      </c>
      <c r="I8" s="42">
        <v>58</v>
      </c>
      <c r="J8" s="42">
        <v>62</v>
      </c>
      <c r="K8" s="42">
        <v>63</v>
      </c>
      <c r="L8" s="42">
        <v>2</v>
      </c>
      <c r="M8" s="42">
        <f t="shared" si="0"/>
        <v>300</v>
      </c>
      <c r="N8" s="43" t="str">
        <f t="shared" si="4"/>
        <v>Fail</v>
      </c>
      <c r="O8" s="43">
        <f t="shared" si="3"/>
        <v>50</v>
      </c>
      <c r="P8" s="43" t="str">
        <f t="shared" si="1"/>
        <v>D</v>
      </c>
    </row>
    <row r="9" spans="1:16" ht="25.5">
      <c r="A9" s="29"/>
      <c r="B9" s="41">
        <f t="shared" ca="1" si="2"/>
        <v>46053</v>
      </c>
      <c r="C9" s="42" t="s">
        <v>24</v>
      </c>
      <c r="D9" s="42" t="s">
        <v>25</v>
      </c>
      <c r="E9" s="42">
        <v>10</v>
      </c>
      <c r="F9" s="42" t="s">
        <v>23</v>
      </c>
      <c r="G9" s="42">
        <v>82</v>
      </c>
      <c r="H9" s="42">
        <v>79</v>
      </c>
      <c r="I9" s="42">
        <v>88</v>
      </c>
      <c r="J9" s="42">
        <v>82</v>
      </c>
      <c r="K9" s="42">
        <v>87</v>
      </c>
      <c r="L9" s="42">
        <v>2</v>
      </c>
      <c r="M9" s="42">
        <f t="shared" si="0"/>
        <v>420</v>
      </c>
      <c r="N9" s="43" t="str">
        <f t="shared" si="4"/>
        <v>Pass</v>
      </c>
      <c r="O9" s="43">
        <f t="shared" si="3"/>
        <v>70</v>
      </c>
      <c r="P9" s="43" t="str">
        <f t="shared" ref="P9:P13" si="5">IF(O9&gt;=90,"A+",IF(O9&gt;=80,"A",IF(O9&gt;=70,"B",IF(O9&gt;=60,"C","D"))))</f>
        <v>B</v>
      </c>
    </row>
    <row r="10" spans="1:16" ht="25.5">
      <c r="A10" s="29"/>
      <c r="B10" s="41">
        <f t="shared" ca="1" si="2"/>
        <v>46053</v>
      </c>
      <c r="C10" s="42" t="s">
        <v>26</v>
      </c>
      <c r="D10" s="42" t="s">
        <v>27</v>
      </c>
      <c r="E10" s="42">
        <v>10</v>
      </c>
      <c r="F10" s="42" t="s">
        <v>14</v>
      </c>
      <c r="G10" s="42">
        <v>45</v>
      </c>
      <c r="H10" s="42">
        <v>50</v>
      </c>
      <c r="I10" s="42">
        <v>48</v>
      </c>
      <c r="J10" s="42">
        <v>52</v>
      </c>
      <c r="K10" s="42">
        <v>60</v>
      </c>
      <c r="L10" s="42">
        <v>9</v>
      </c>
      <c r="M10" s="42">
        <f t="shared" si="0"/>
        <v>264</v>
      </c>
      <c r="N10" s="43" t="str">
        <f t="shared" si="4"/>
        <v>Fail</v>
      </c>
      <c r="O10" s="43">
        <f t="shared" si="3"/>
        <v>44</v>
      </c>
      <c r="P10" s="43" t="str">
        <f t="shared" si="5"/>
        <v>D</v>
      </c>
    </row>
    <row r="11" spans="1:16" ht="25.5">
      <c r="A11" s="29"/>
      <c r="B11" s="41">
        <f t="shared" ca="1" si="2"/>
        <v>46053</v>
      </c>
      <c r="C11" s="42" t="s">
        <v>28</v>
      </c>
      <c r="D11" s="42" t="s">
        <v>29</v>
      </c>
      <c r="E11" s="42">
        <v>10</v>
      </c>
      <c r="F11" s="42" t="s">
        <v>18</v>
      </c>
      <c r="G11" s="42">
        <v>95</v>
      </c>
      <c r="H11" s="42">
        <v>96</v>
      </c>
      <c r="I11" s="42">
        <v>93</v>
      </c>
      <c r="J11" s="42">
        <v>95</v>
      </c>
      <c r="K11" s="42">
        <v>97</v>
      </c>
      <c r="L11" s="42">
        <v>10</v>
      </c>
      <c r="M11" s="42">
        <f t="shared" si="0"/>
        <v>486</v>
      </c>
      <c r="N11" s="43" t="str">
        <f t="shared" si="4"/>
        <v>Pass</v>
      </c>
      <c r="O11" s="43">
        <f t="shared" si="3"/>
        <v>81</v>
      </c>
      <c r="P11" s="43" t="str">
        <f t="shared" si="5"/>
        <v>A</v>
      </c>
    </row>
    <row r="12" spans="1:16" ht="25.5">
      <c r="A12" s="29"/>
      <c r="B12" s="41">
        <f t="shared" ca="1" si="2"/>
        <v>46053</v>
      </c>
      <c r="C12" s="42" t="s">
        <v>30</v>
      </c>
      <c r="D12" s="42" t="s">
        <v>31</v>
      </c>
      <c r="E12" s="42">
        <v>10</v>
      </c>
      <c r="F12" s="42" t="s">
        <v>23</v>
      </c>
      <c r="G12" s="42">
        <v>97</v>
      </c>
      <c r="H12" s="42">
        <v>96</v>
      </c>
      <c r="I12" s="42">
        <v>97</v>
      </c>
      <c r="J12" s="42">
        <v>94</v>
      </c>
      <c r="K12" s="42">
        <v>94</v>
      </c>
      <c r="L12" s="42">
        <v>5</v>
      </c>
      <c r="M12" s="42">
        <f>SUM(G12:L12)</f>
        <v>483</v>
      </c>
      <c r="N12" s="43" t="str">
        <f>IF(M12&gt;300,"Pass","Fail")</f>
        <v>Pass</v>
      </c>
      <c r="O12" s="43">
        <f t="shared" si="3"/>
        <v>80.5</v>
      </c>
      <c r="P12" s="43" t="str">
        <f>IF(O12&gt;=90,"A+",IF(O12&gt;=80,"A",IF(O12&gt;=70,"B",IF(O12&gt;=60,"C","D"))))</f>
        <v>A</v>
      </c>
    </row>
    <row r="13" spans="1:16" ht="25.5">
      <c r="A13" s="30"/>
      <c r="B13" s="41">
        <f t="shared" ca="1" si="2"/>
        <v>46053</v>
      </c>
      <c r="C13" s="42" t="s">
        <v>32</v>
      </c>
      <c r="D13" s="42" t="s">
        <v>35</v>
      </c>
      <c r="E13" s="42">
        <v>10</v>
      </c>
      <c r="F13" s="42" t="s">
        <v>14</v>
      </c>
      <c r="G13" s="42">
        <v>88</v>
      </c>
      <c r="H13" s="42">
        <v>85</v>
      </c>
      <c r="I13" s="42">
        <v>90</v>
      </c>
      <c r="J13" s="42">
        <v>80</v>
      </c>
      <c r="K13" s="42">
        <v>88</v>
      </c>
      <c r="L13" s="42">
        <v>10</v>
      </c>
      <c r="M13" s="42">
        <f t="shared" si="0"/>
        <v>441</v>
      </c>
      <c r="N13" s="43" t="str">
        <f t="shared" si="4"/>
        <v>Pass</v>
      </c>
      <c r="O13" s="43">
        <f t="shared" si="3"/>
        <v>73.5</v>
      </c>
      <c r="P13" s="43" t="str">
        <f t="shared" si="5"/>
        <v>B</v>
      </c>
    </row>
    <row r="14" spans="1:16" ht="25.5">
      <c r="A14" s="30"/>
      <c r="B14" s="41">
        <f t="shared" ca="1" si="2"/>
        <v>46053</v>
      </c>
      <c r="C14" s="42" t="s">
        <v>34</v>
      </c>
      <c r="D14" s="42" t="s">
        <v>38</v>
      </c>
      <c r="E14" s="42">
        <v>10</v>
      </c>
      <c r="F14" s="42" t="s">
        <v>23</v>
      </c>
      <c r="G14" s="42">
        <v>53</v>
      </c>
      <c r="H14" s="42">
        <v>55</v>
      </c>
      <c r="I14" s="42">
        <v>54</v>
      </c>
      <c r="J14" s="42">
        <v>48</v>
      </c>
      <c r="K14" s="42">
        <v>66</v>
      </c>
      <c r="L14" s="42">
        <v>6</v>
      </c>
      <c r="M14" s="42">
        <f t="shared" si="0"/>
        <v>282</v>
      </c>
      <c r="N14" s="43" t="str">
        <f t="shared" si="4"/>
        <v>Fail</v>
      </c>
      <c r="O14" s="43">
        <f>AVERAGE(G14:L14)</f>
        <v>47</v>
      </c>
      <c r="P14" s="43" t="str">
        <f>IF(O14&gt;=90,"A+",IF(O14&gt;=80,"A",IF(O14&gt;=70,"B",IF(O14&gt;=60,"C","D"))))</f>
        <v>D</v>
      </c>
    </row>
    <row r="15" spans="1:16" ht="25.5">
      <c r="A15" s="30"/>
      <c r="B15" s="41">
        <f t="shared" ca="1" si="2"/>
        <v>46053</v>
      </c>
      <c r="C15" s="44" t="s">
        <v>36</v>
      </c>
      <c r="D15" s="45" t="s">
        <v>37</v>
      </c>
      <c r="E15" s="46">
        <v>10</v>
      </c>
      <c r="F15" s="42" t="s">
        <v>18</v>
      </c>
      <c r="G15" s="42">
        <v>67</v>
      </c>
      <c r="H15" s="42">
        <v>78</v>
      </c>
      <c r="I15" s="42">
        <v>75</v>
      </c>
      <c r="J15" s="42">
        <v>88</v>
      </c>
      <c r="K15" s="42">
        <v>66</v>
      </c>
      <c r="L15" s="42">
        <v>7</v>
      </c>
      <c r="M15" s="42">
        <f t="shared" si="0"/>
        <v>381</v>
      </c>
      <c r="N15" s="43" t="str">
        <f t="shared" si="4"/>
        <v>Pass</v>
      </c>
      <c r="O15" s="43">
        <f t="shared" si="3"/>
        <v>63.5</v>
      </c>
      <c r="P15" s="43" t="str">
        <f>IF(V1&gt;=90,"A+",IF(V1&gt;=80,"A",IF(V1&gt;=70,"B",IF(V1&gt;=60,"C","D"))))</f>
        <v>D</v>
      </c>
    </row>
    <row r="17" spans="2:16">
      <c r="C17" s="53" t="str">
        <f>_xlfn.XLOOKUP(C12,C4:C15,D4:D15)</f>
        <v>Deepak Verma</v>
      </c>
      <c r="D17" s="54"/>
      <c r="E17" s="55"/>
    </row>
    <row r="18" spans="2:16">
      <c r="E18" s="9"/>
    </row>
    <row r="19" spans="2:16">
      <c r="B19" s="56" t="s">
        <v>51</v>
      </c>
      <c r="C19" s="57"/>
      <c r="D19" s="27" t="s">
        <v>53</v>
      </c>
      <c r="E19" s="28" t="s">
        <v>54</v>
      </c>
      <c r="F19" s="27" t="s">
        <v>55</v>
      </c>
    </row>
    <row r="20" spans="2:16" ht="0.75" customHeight="1">
      <c r="B20" s="38" t="s">
        <v>4</v>
      </c>
      <c r="D20" s="26">
        <f>MAX(100)</f>
        <v>100</v>
      </c>
      <c r="E20" s="24">
        <v>97</v>
      </c>
      <c r="F20" s="22" t="str">
        <f>IF(E20&gt;70,"Pass","Fail")</f>
        <v>Pass</v>
      </c>
    </row>
    <row r="21" spans="2:16">
      <c r="B21" s="51" t="s">
        <v>5</v>
      </c>
      <c r="C21" s="51"/>
      <c r="D21" s="23">
        <f>MAX(100)</f>
        <v>100</v>
      </c>
      <c r="E21" s="25">
        <v>96</v>
      </c>
      <c r="F21" s="23" t="str">
        <f>IF(E21&gt;50,"Pass","Fail")</f>
        <v>Pass</v>
      </c>
      <c r="H21" s="11"/>
    </row>
    <row r="22" spans="2:16">
      <c r="B22" s="51" t="s">
        <v>6</v>
      </c>
      <c r="C22" s="51"/>
      <c r="D22" s="39">
        <f>MAX(100)</f>
        <v>100</v>
      </c>
      <c r="E22" s="37">
        <v>97</v>
      </c>
      <c r="F22" s="36" t="str">
        <f>IF(E22&gt;50,"Pass","Fail")</f>
        <v>Pass</v>
      </c>
      <c r="G22" s="4"/>
    </row>
    <row r="23" spans="2:16">
      <c r="B23" s="51" t="s">
        <v>7</v>
      </c>
      <c r="C23" s="51"/>
      <c r="D23" s="23">
        <f>MAX(100)</f>
        <v>100</v>
      </c>
      <c r="E23" s="25">
        <v>94</v>
      </c>
      <c r="F23" s="23" t="str">
        <f>IF(E23&gt;50,"Pass","Fail")</f>
        <v>Pass</v>
      </c>
      <c r="G23" s="3"/>
    </row>
    <row r="24" spans="2:16">
      <c r="B24" s="51" t="s">
        <v>8</v>
      </c>
      <c r="C24" s="51"/>
      <c r="D24" s="39">
        <f>MAX(100)</f>
        <v>100</v>
      </c>
      <c r="E24" s="37">
        <v>94</v>
      </c>
      <c r="F24" s="36" t="str">
        <f>IF(E24&gt;50,"Pass","Fail")</f>
        <v>Pass</v>
      </c>
      <c r="I24" s="12"/>
    </row>
    <row r="25" spans="2:16" ht="15" customHeight="1">
      <c r="E25" s="18"/>
    </row>
    <row r="26" spans="2:16" ht="15" customHeight="1">
      <c r="B26" s="49" t="str">
        <f>_xlfn.XLOOKUP(C12,C3:C15,D3:D15)</f>
        <v>Deepak Verma</v>
      </c>
      <c r="C26" s="50"/>
      <c r="D26" s="17"/>
      <c r="E26" s="35" t="s">
        <v>47</v>
      </c>
      <c r="F26" s="32" cm="1">
        <f t="array" ref="F26">VLOOKUP(D12,D4:P15,{2},0)</f>
        <v>10</v>
      </c>
      <c r="I26" s="10"/>
      <c r="J26" s="15"/>
      <c r="K26" s="15"/>
      <c r="L26" s="15"/>
      <c r="M26" s="15"/>
      <c r="N26" s="15"/>
      <c r="O26" s="15"/>
      <c r="P26" s="15"/>
    </row>
    <row r="27" spans="2:16" ht="15.75" customHeight="1">
      <c r="B27" s="33" t="s">
        <v>9</v>
      </c>
      <c r="C27" s="32">
        <f>SUMIF(D4:D15,D12,M4:M15)</f>
        <v>483</v>
      </c>
      <c r="E27" s="34" t="s">
        <v>51</v>
      </c>
      <c r="F27" s="32">
        <f>COUNT(G12:L12)</f>
        <v>6</v>
      </c>
    </row>
    <row r="28" spans="2:16">
      <c r="B28" s="34" t="s">
        <v>44</v>
      </c>
      <c r="C28" s="32">
        <f>MAX(G12:L12)</f>
        <v>97</v>
      </c>
    </row>
    <row r="29" spans="2:16">
      <c r="B29" s="34" t="s">
        <v>45</v>
      </c>
      <c r="C29" s="32">
        <f>MIN(G12:M12)</f>
        <v>5</v>
      </c>
      <c r="E29" s="20" t="s">
        <v>48</v>
      </c>
      <c r="F29" s="19" t="str">
        <f>IF(O12&gt;=90,"A+",IF(O12&gt;=80,"A",IF(O12&gt;=70,"B",IF(O12&gt;=60,"C","D"))))</f>
        <v>A</v>
      </c>
      <c r="I29" s="10"/>
    </row>
    <row r="30" spans="2:16">
      <c r="B30" s="34" t="s">
        <v>46</v>
      </c>
      <c r="C30" s="32">
        <f>AVERAGE(F12:K12)</f>
        <v>95.6</v>
      </c>
      <c r="E30" s="21" t="s">
        <v>11</v>
      </c>
      <c r="F30" s="19" t="str">
        <f>IF(D12&gt;=300,"Pass","Fail")</f>
        <v>Pass</v>
      </c>
      <c r="O30" s="29"/>
    </row>
    <row r="32" spans="2:16">
      <c r="B32" s="40"/>
      <c r="C32" s="40"/>
      <c r="H32" s="5"/>
      <c r="O32" s="48" t="s">
        <v>57</v>
      </c>
      <c r="P32" s="47"/>
    </row>
    <row r="35" spans="2:16">
      <c r="C35" s="14"/>
      <c r="E35" s="1"/>
    </row>
    <row r="36" spans="2:16">
      <c r="C36" s="14"/>
    </row>
    <row r="37" spans="2:16">
      <c r="C37" s="14"/>
    </row>
    <row r="38" spans="2:16">
      <c r="C38" s="14"/>
    </row>
    <row r="40" spans="2:16">
      <c r="B40" s="6"/>
      <c r="D40" s="1"/>
      <c r="E40" s="1"/>
      <c r="F40" s="1"/>
      <c r="L40" s="1"/>
      <c r="M40" s="16"/>
      <c r="N40" s="10"/>
      <c r="O40" s="10"/>
      <c r="P40" s="10"/>
    </row>
    <row r="41" spans="2:16">
      <c r="B41" s="13"/>
    </row>
  </sheetData>
  <mergeCells count="8">
    <mergeCell ref="B26:C26"/>
    <mergeCell ref="B23:C23"/>
    <mergeCell ref="G1:K1"/>
    <mergeCell ref="C17:E17"/>
    <mergeCell ref="B24:C24"/>
    <mergeCell ref="B19:C19"/>
    <mergeCell ref="B21:C21"/>
    <mergeCell ref="B22:C22"/>
  </mergeCells>
  <conditionalFormatting sqref="M4:M15">
    <cfRule type="cellIs" dxfId="7" priority="4" operator="lessThan">
      <formula>300</formula>
    </cfRule>
    <cfRule type="cellIs" dxfId="6" priority="5" operator="lessThan">
      <formula>300</formula>
    </cfRule>
    <cfRule type="cellIs" dxfId="5" priority="8" operator="lessThan">
      <formula>300</formula>
    </cfRule>
  </conditionalFormatting>
  <conditionalFormatting sqref="M8">
    <cfRule type="cellIs" dxfId="4" priority="7" operator="lessThan">
      <formula>300</formula>
    </cfRule>
  </conditionalFormatting>
  <conditionalFormatting sqref="M10">
    <cfRule type="cellIs" dxfId="3" priority="6" operator="lessThan">
      <formula>300</formula>
    </cfRule>
  </conditionalFormatting>
  <conditionalFormatting sqref="M40">
    <cfRule type="cellIs" dxfId="2" priority="1" operator="lessThan">
      <formula>300</formula>
    </cfRule>
    <cfRule type="cellIs" dxfId="1" priority="2" operator="lessThan">
      <formula>300</formula>
    </cfRule>
    <cfRule type="cellIs" dxfId="0" priority="3" operator="lessThan">
      <formula>300</formula>
    </cfRule>
  </conditionalFormatting>
  <dataValidations count="1">
    <dataValidation type="date" allowBlank="1" showInputMessage="1" showErrorMessage="1" sqref="B4:B15 B40" xr:uid="{2C846378-D00B-4C50-B7C2-1222528B0388}">
      <formula1>46051</formula1>
      <formula2>46051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4910F3D1-46C9-4541-8A3D-641ABE7AAB4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sqref>K29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Hanif Aziz</dc:creator>
  <cp:lastModifiedBy>Hanif Aziz</cp:lastModifiedBy>
  <dcterms:created xsi:type="dcterms:W3CDTF">2026-01-27T20:36:22Z</dcterms:created>
  <dcterms:modified xsi:type="dcterms:W3CDTF">2026-01-31T11:26:13Z</dcterms:modified>
</cp:coreProperties>
</file>